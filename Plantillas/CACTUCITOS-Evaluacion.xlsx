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upo N" sheetId="1" r:id="rId4"/>
  </sheets>
  <definedNames/>
  <calcPr/>
  <extLst>
    <ext uri="GoogleSheetsCustomDataVersion2">
      <go:sheetsCustomData xmlns:go="http://customooxmlschemas.google.com/" r:id="rId5" roundtripDataChecksum="O1n284kzJu+Usvt+IIXQygvQk7PKWmBKuy7tnK7981U="/>
    </ext>
  </extLst>
</workbook>
</file>

<file path=xl/sharedStrings.xml><?xml version="1.0" encoding="utf-8"?>
<sst xmlns="http://schemas.openxmlformats.org/spreadsheetml/2006/main" count="98" uniqueCount="98">
  <si>
    <t xml:space="preserve">GRUPO No: </t>
  </si>
  <si>
    <t>3 - CACTUCITOS</t>
  </si>
  <si>
    <t>BANCO AUDITADO:</t>
  </si>
  <si>
    <t>Banco Fondo de Bikini</t>
  </si>
  <si>
    <t>Nombres y Apellidos:</t>
  </si>
  <si>
    <t>Carlos Caba, Daniela Guzman, Josue Nisthaus, Jose Manzaneda, Luciana Velasco</t>
  </si>
  <si>
    <t>Alcance:</t>
  </si>
  <si>
    <t>Evaluar la planificación y adecuación de los objetivos de Sistemas o Tecnología de la Información con los objetivos estratégicos de la entidad financiera, identificar los controles en su organización, funciones, proyectos y en el desempeño de sus recursos de tecnología de la información</t>
  </si>
  <si>
    <t>EVALUACIÓN DE RIESGOS - MATRIZ DE HALLAZGOS DE AUDITORÍA INFORMÁTICA</t>
  </si>
  <si>
    <t>Documento de propiedad intelectual por Mgr. Ing. Lourdes Peredo Quiroga (se autoriza el uso solo para estudiantes de UCB)</t>
  </si>
  <si>
    <t>No.</t>
  </si>
  <si>
    <t>HALLAZGO</t>
  </si>
  <si>
    <t>CRITERIO</t>
  </si>
  <si>
    <t>CAUSA / EFECTO</t>
  </si>
  <si>
    <t>CONCLUSIÓN</t>
  </si>
  <si>
    <t>P</t>
  </si>
  <si>
    <t>I</t>
  </si>
  <si>
    <t>RIESGO</t>
  </si>
  <si>
    <t>NIVEL RIESGO</t>
  </si>
  <si>
    <t>RECOMENDACIÓN</t>
  </si>
  <si>
    <t>RESPONSABLE</t>
  </si>
  <si>
    <t>FECHA</t>
  </si>
  <si>
    <t>Area auditada Plan de acción</t>
  </si>
  <si>
    <t>R1. Al momento de la evaluacion no estaba disponible un documento formal que establezca mecanimos de control sobre el comportamiento del personal, ademas de canales para reportar irregularidades. 
- PEI 2025-2027, Sección 2.3
- PESI 2025-2027, Sección 3
- PETI 2025-2027, Sección 4.6
- Políticas de Gestión TI, Sección 8</t>
  </si>
  <si>
    <t xml:space="preserve">Dominio PO – Planear y Organizar
Procesos: PO1, PO3, PO7, ME2
</t>
  </si>
  <si>
    <t>Causa: La alta dirección no ha formalizado un instrumento normativo específico de conducta para TI; los valores del PEI no se han traducido en un documento operativo con mecanismos de control y sanción.
Efecto: El personal de TI opera sin un marco formal de conducta, incrementando el riesgo de comportamientos no éticos, uso indebido de recursos y ausencia de mecanismos de reporte ante irregularidades.</t>
  </si>
  <si>
    <t>Los valores institucionales existen en el PEI pero no se materializan en un Código de Ética operativo. Esto afecta el catalizador de Cultura, Ética y Comportamiento de COBIT y compromete los criterios de confidencialidad e integridad, ya que no existe instrumento que rija la conducta del personal de TI ni defina consecuencias ante incumplimientos.</t>
  </si>
  <si>
    <t>Elaborar y publicar un Código de Ética con secciones de integridad, confidencialidad, conflictos de interés, uso ético de sistemas, canal de denuncia (whistleblowing), consecuencias disciplinarias y firma anual obligatoria por todo el personal de TI.</t>
  </si>
  <si>
    <t>R2. Al momento de la evaluación no estaba disponible evidencia documental que formalice la constitución formal del Comité de Gobierno de TI. Ademas no se evidenciaron actas de creación, designación formal de integrantes, definición de funciones ni periodicidad establecida para las sesiones.
- PETI 2025-2027, Secciones 2.3 y 9.1
- Organigrama del Área de TI
- Políticas de Gestión Ágil, Sección 7.1</t>
  </si>
  <si>
    <t xml:space="preserve">Dominio PO – Planear y Organizar; Dominio ME – Monitorear y Evaluar
Procesos: PO1, PO4, ME2
COSO – Componente 4: Información y Comunicación | Lineamiento 14
- RGSI Art. 6° (Comité Operativo de TI)
</t>
  </si>
  <si>
    <t>Causa: El PETI reconoce EDM01 en nivel 1-Inicial; la constitución del Comité de TI ha sido postergada sin fecha comprometida, dejando el gobierno de TI sin instancia formal de supervisión.
Efecto: Las decisiones estratégicas de TI se toman sin supervisión formal del Directorio, generando riesgo de desalineamiento entre los objetivos tecnológicos y los institucionales del banco.</t>
  </si>
  <si>
    <t>La ausencia de un Comité de Gobierno de TI formalmente constituido representa una brecha crítica en el catalizador de Estructura Organizativa de COBIT. Sin esta instancia, los criterios de efectividad y cumplimiento no pueden ser evaluados ni reportados al Directorio, comprometiendo la gobernanza de TI en su totalidad.</t>
  </si>
  <si>
    <t>Emitir el acta constitutiva formal del Comité de Gobierno de TI con nombramiento de integrantes, términos de referencia, calendario de sesiones trimestral y mecanismo de reporte semestral al Directorio, elevando EDM01 al nivel 3-Establecido.</t>
  </si>
  <si>
    <t>R3. Al momento de la evaluación no estaba disponible un plan formal orientado a la gestión del desarrollo profesional del personal de TI. Asimismo, no se evidenciaron evaluaciones de desempeño ejecutadas ni registros de capacitaciones realizadas en el área, generando dependencia del conocimiento individual.
- PETI 2025-2027, Secciones 2.3 y 4.6
- Manuales de Funciones del área de TI
- PESI 2025-2027, Sección 7.4</t>
  </si>
  <si>
    <t xml:space="preserve">Dominio PO – Planear y Organizar
Procesos: PO7, ME2
</t>
  </si>
  <si>
    <t>Causa: La gestión del personal de TI se ha enfocado en cubrir necesidades operativas inmediatas, sin destinar responsables ni recursos para un programa estructurado de desarrollo profesional.
Efecto: El conocimiento queda concentrado en personas individuales, generando riesgo de pérdida de capacidad operativa ante rotación de personal y limitando la madurez de los procesos de TI.</t>
  </si>
  <si>
    <t>El catalizador de Personas, Habilidades y Competencias de COBIT presenta una brecha relevante. Si bien existen manuales de funciones, la ausencia de un plan de competencias y de registros de capacitación ejecutados compromete el criterio de eficiencia operativa y la sostenibilidad del capital humano del área de TI.</t>
  </si>
  <si>
    <t>Desarrollar un plan de gestión del talento que contemple perfil de ingreso, esquema de capacitaciones alineado a los roles del área, evaluaciones de desempeño periódicas y un procedimiento para la transferencia de conocimiento ante cambios de personal.</t>
  </si>
  <si>
    <t>R4.Durante la evaluación se observó que la gestión de riesgos tecnológicos no opera bajo un esquema continuo y estructurado. Los riesgos identificados en la documentación revisada no evidencian seguimiento periódico verificable ni cobertura completa de tratamiento formal.
- PESI 2025-2027, Secciones 4.1, 4.3 y SoA control 6.4
- PETI 2025-2027, Secciones 1.2 y 2.3</t>
  </si>
  <si>
    <t xml:space="preserve">Dominio PO – Planear y Organizar; Dominio ME – Monitorear y Evaluar
Procesos: PO1, PO2, ME2
</t>
  </si>
  <si>
    <t>Causa: El proceso de gestión de riesgos (APO12) no cuenta con un nivel de madurez definido en el PETI y no se evidencia un mecanismo formal de seguimiento periódico, por lo que su aplicación no se realiza de forma estructurada.
Efecto: Riesgos sin monitoreo continuo pueden materializarse sin activar controles preventivos, afectando la disponibilidad e integridad de los sistemas críticos del banco.</t>
  </si>
  <si>
    <t>El catalizador de Información y el proceso de Evaluación de Riesgos de COBIT presentan una brecha en su implementación operativa. Si bien el PESI define riesgos y tratamientos, la ausencia de un proceso activo de seguimiento compromete los criterios de disponibilidad e integridad, dejando al banco expuesto a riesgos identificados pero no gestionados.</t>
  </si>
  <si>
    <t>Establecer un proceso de revisión periódica del registro de riesgos con responsables asignados, frecuencia definida y mecanismo de escalamiento hacia la alta dirección cuando se identifiquen riesgos sin tratamiento o con tratamiento vencido.</t>
  </si>
  <si>
    <t>R5.Durante la evaluación se identificaron brechas en los mecanismos de detección y respuesta ante incidentes de seguridad. El PESI señala la necesidad de fortalecer la correlación de eventos del SIEM y no se evidenció documentación que confirme la operación de un SOC ni la implementación completa de MFA.
- PESI 2025-2027, Sección 6 – SoA controles 8.5, 8.16, 8.31
- PESI 2025-2027, Sección 7.2
- Inventario de activos, Hoja 3. Software</t>
  </si>
  <si>
    <t xml:space="preserve">Dominio PO – Planear y Organizar; Dominio ME – Monitorear y Evaluar
Procesos: PO3, ME2
</t>
  </si>
  <si>
    <t>Causa: La implementación de controles de seguridad se ha realizado de forma parcial, sin evidencia de una hoja de ruta ejecutada con responsables y fechas de cierre, lo que ha dejado controles en estado planificado o incompleto.
Efecto: La capacidad de detección y contención ante incidentes está limitada debido a la ausencia de evidencia de un SOC en operación, capacidades de SIEM con correlación avanzada y una implementación completa de MFA, lo que incrementa el tiempo de exposición ante amenazas y el riesgo de impacto sobre los sistemas críticos y la información de la organización.</t>
  </si>
  <si>
    <t>El catalizador de Servicios, Infraestructura y Aplicaciones de COBIT evidencia controles técnicos de seguridad incompletos. Los criterios de disponibilidad y confidencialidad están en riesgo al no contar con monitoreo continuo ni autenticación reforzada en todos los sistemas críticos, situación reconocida en la Declaración de Aplicabilidad del PESI.</t>
  </si>
  <si>
    <t>Priorizar la implementación de controles de detección y respuesta pendientes con un cronograma de fechas comprometidas y responsables, verificando el avance mediante el nivel de cobertura de MFA en sistemas críticos y la operatividad del SOC.</t>
  </si>
  <si>
    <t>R6. Al momento de la evaluación no estaba disponible un mecanismo formal que permita evaluar el impacto de cambios tecnológicos y regulatorios sobre los controles vigentes. El procedimiento de gestión de cambios revisado contempla modificaciones internas planificadas, sin evidenciar análisis del entorno externo.
- PETI 2025-2027, Secciones 2.3 y 4.1
- Inventario de Activos, Hoja 5 – Procedimiento de Gestión de Cambios v2.4
- PESI 2025-2027, Sección 9</t>
  </si>
  <si>
    <t xml:space="preserve">Dominio PO – Planear y Organizar; Dominio ME – Monitorear y Evaluar
Procesos: PO3, PO4, ME2
COSO – Componente 2: Evaluación de Riesgos | Lineamiento 9
</t>
  </si>
  <si>
    <t>Causa: El procedimiento de gestión de cambios está orientado a controlar cambios internos planificados sin contemplar el entorno regulatorio como parte del ciclo formal de análisis.
Efecto: Cambios normativos de la ASFI o de arquitectura pueden dejar controles desactualizados sin que se active una revisión formal, generando brechas de cumplimiento no detectadas.</t>
  </si>
  <si>
    <t>El catalizador de Procesos muestra que BAI06 opera en un nivel que no garantiza la gestión predecible de cambios del entorno. Aunque existe el procedimiento de cambios, la ausencia de análisis de impacto sobre controles existentes compromete el criterio de cumplimiento regulatorio ante modificaciones normativas de la ASFI.</t>
  </si>
  <si>
    <t>Incorporar dentro del proceso de gestión de cambios una etapa de análisis de impacto sobre controles existentes, de modo que cualquier modificación significativa en tecnología o normativa dispare una revisión formal y documentada de los controles afectados.</t>
  </si>
  <si>
    <t>R7. Durante la evaluación no se evidenció un mecanismo periódico de seguimiento al desempeño de TI. Si bien el PETI define KPIs asociados al área, no se encontraron mediciones documentadas ni reportes presentados a las instancias de gobierno.
- PETI 2025-2027, Secciones 2.3 y 6
- Inventario de Activos, Hoja 4 (Datos de Rendimiento)
- PESI 2025-2027, Secciones 8 y 11.2</t>
  </si>
  <si>
    <t xml:space="preserve">Dominio PO – Planear y Organizar; Dominio ME – Monitorear y Evaluar
Procesos: PO1, ME2
COSO – Componente 1: Ambiente de Control | Lineamiento 5
COSO – Componente 5: Actividades de Monitoreo | Lineamiento 17
</t>
  </si>
  <si>
    <t>Causa: La medición del desempeño de TI no ha sido priorizada como actividad formal; los indicadores existen en la documentación estratégica pero no se han asignado responsables ni herramientas para su medición y reporte sistemático.
Efecto: La dirección no dispone de información actualizada sobre el rendimiento de TI, dificultando identificar desviaciones, justificar inversiones y tomar decisiones correctivas oportunas.</t>
  </si>
  <si>
    <t>El catalizador de Información de COBIT evidencia una brecha en la generación y comunicación de información de gestión. Con MEA01 en nivel 1-Inicial, el criterio de efectividad del sistema de control interno no puede ser evaluado, ya que no existe un mecanismo que mida y reporte si los objetivos de TI se están alcanzando según lo planificado.</t>
  </si>
  <si>
    <t>Implementar un mecanismo de seguimiento del desempeño de TI con indicadores definidos, frecuencia de medición establecida y reportes periódicos presentados a las instancias de gobierno, comenzando con los indicadores del PETI y estableciendo líneas base de MTTD/MTTR.</t>
  </si>
  <si>
    <t>Durante la evaluación se observó que el proceso APO02 (Estrategia de TI) permanece en nivel 1-Inicial sin evidencia de despliegue operativo. Asimismo, el proceso DSS04 (Continuidad) presenta BCP y DRP sin formalización ni pruebas documentadas, limitando el aseguramiento razonable de los controles establecidos.
- PETI 2025-2027, Secciones 2.3 y 4.4</t>
  </si>
  <si>
    <t xml:space="preserve">Dominio PO – Planear y Organizar; Dominio DS – Entregar y dar Soporte
Procesos: PO3, PO1
COSO – Componente 1: Ambiente de Control | Lineamiento 3
</t>
  </si>
  <si>
    <t>Causa: Los procesos APO02 y DSS04 fueron identificados como brechas en el PETI pero sin cronograma comprometido ni responsable asignado para su implementación.
Efecto: Sin BCP/DRP formalizados y probados, el banco no puede garantizar la recuperación ante incidentes críticos, comprometiendo la disponibilidad de los sistemas críticos y el cumplimiento regulatorio ante la ASFI.</t>
  </si>
  <si>
    <t>La ausencia de BCP/DRP probados compromete los criterios de disponibilidad y cumplimiento. El PETI reconoce nivel 1-Inicial en DSS04, confirmando que la continuidad operativa no está formalmente asegurada.</t>
  </si>
  <si>
    <t>Formalizar y aprobar el BCP y DRP con RTO y RPO definidos, asignar responsables y ejecutar al menos dos pruebas anuales documentadas.</t>
  </si>
  <si>
    <t>Durante la evaluación se observó que, si bien los objetivos estratégicos de TI definidos en el PETI mantienen alineamiento con el PEI, la gestión de riesgos bajo APO12 se encuentra planteada como iniciativa de implementación y no evidencia un framework ERM formal, nivel de madurez asignado ni responsables definidos.
- PETI 2025-2027, Sección 3
- PESI 2025-2027, Sección 1</t>
  </si>
  <si>
    <t xml:space="preserve">Dominio PO – Planear y Organizar
Procesos: PO9, PO1
COSO – Componente 2: Evaluación de Riesgos | Lineamiento 6
</t>
  </si>
  <si>
    <t>Causa: La implementación del ERM fue postergada como iniciativa futura sin responsable ni cronograma activo.
Efecto: Los riesgos estratégicos, operativos y legales no se identifican ni gestionan de forma sistemática, generando decisiones sin consideración adecuada de los riesgos tecnológicos.</t>
  </si>
  <si>
    <t>La ausencia de ERM formal compromete el criterio de efectividad de la planificación estratégica. Los riesgos tecnológicos no están integrados en la gestión de riesgos empresarial del banco.</t>
  </si>
  <si>
    <t>Implementar un framework ERM alineado a Basilea III que integre los riesgos tecnológicos del PESI, con responsables, metodología y revisión trimestral.</t>
  </si>
  <si>
    <t>Durante la evaluación se verificó que las políticas y procedimientos del área de TI cuentan con aprobación formal; sin embargo, no se evidenciaron registros documentales que acrediten su ejecución efectiva, tales como listas de verificación firmadas, actas de revisión periódica o reportes de cumplimiento.
- PESI 2025-2027, Sección 6 – SoA control 5.1
- Políticas de Gestión Ágil, Sección 7</t>
  </si>
  <si>
    <t xml:space="preserve">Dominio PO – Planear y Organizar; Dominio ME – Monitorear y Evaluar
Procesos: PO4, ME2
COSO – Componente 3: Actividades de Control | Lineamiento 12
</t>
  </si>
  <si>
    <t>Causa: La organización cuenta con el marco normativo documentado pero no ha establecido mecanismos formales de verificación del cumplimiento ni generado evidencias de ejecución.
Efecto: Ante una auditoría regulatoria no se puede demostrar cumplimiento; los riesgos que las políticas buscan mitigar permanecen latentes.</t>
  </si>
  <si>
    <t>El despliegue efectivo de políticas sin evidencia de ejecución compromete el criterio de cumplimiento. La existencia del marco normativo no sustituye la demostración de su aplicación práctica.</t>
  </si>
  <si>
    <t>Implementar un programa de verificación del cumplimiento con listas de verificación periódicas, responsables asignados y reportes trimestrales al Comité de TI.</t>
  </si>
  <si>
    <t>Al momento de la evaluación no estaba disponible una política formal de gobierno del dato implementada. Actualmente los datos del banco no están clasificados ni etiquetados formalmente.
- PETI 2025-2027, Sección 7.1
- PESI 2025-2027, Sección 9</t>
  </si>
  <si>
    <t xml:space="preserve">Dominio PO – Planear y Organizar
Procesos: PO2
COSO – Componente 4: Información y Comunicación | Lineamiento 13
</t>
  </si>
  <si>
    <t>Causa: La clasificación de activos fue planificada como actividad futura sin responsable ni fecha comprometida de completitud, sin priorizarse como prerequisito para otros controles.
Efecto: Sin clasificación formal no es posible aplicar controles de protección diferenciados; la confidencialidad de información de clientes y transacciones no está formalmente protegida.</t>
  </si>
  <si>
    <t>La ausencia de gobierno del dato y clasificación de activos compromete directamente el criterio de confidencialidad e integridad de la información del banco.</t>
  </si>
  <si>
    <t>Completar la clasificación y etiquetado de activos de información, asignar propietarios de dato por sistema crítico y formalizar la política de gobierno del dato.</t>
  </si>
  <si>
    <t>Durante la evaluación no se evidenciaron canales formales documentados para la comunicación con partes externas. Asimismo, el proceso de notificación al regulador ASFI ante incidentes de seguridad y la formalización de acuerdos de seguridad con terceros aún se encontraban pendientes de implementación.
- PESI 2025-2027, Secciones 2.2 y 10.1
- PESI 2025-2027, SoA control 5.19</t>
  </si>
  <si>
    <t xml:space="preserve">Dominio PO – Planear y Organizar; Dominio ME – Monitorear y Evaluar
Procesos: PO4, ME2
COSO – Componente 4: Información y Comunicación | Lineamiento 15
</t>
  </si>
  <si>
    <t>Causa: Los canales de comunicación con partes externas fueron planificados pero no implementados; los proveedores con acceso privilegiado no están regulados contractualmente.
Efecto: Ante un incidente, el banco no puede notificar a la ASFI en los tiempos requeridos; proveedores con acceso a sistemas críticos operan sin obligaciones contractuales de seguridad.</t>
  </si>
  <si>
    <t>La ausencia de canales formales con el regulador y la falta de NDAs comprometen el criterio de cumplimiento regulatorio, exponiendo al banco a sanciones de la ASFI por incumplimiento de la Circular 004/2022.</t>
  </si>
  <si>
    <t>Implementar el procedimiento de notificación de incidentes a la ASFI y formalizar NDAs y cláusulas de seguridad en todos los contratos con proveedores que tienen acceso a sistemas críticos.</t>
  </si>
  <si>
    <t>Durante la evaluación se observó que el SGSI alineado a ISO 27001 aún se encuentra en proceso de implementación, por lo que no se evidenciaron autoevaluaciones del Sistema de Control Interno en ejecución. Asimismo, las pruebas BCP/DRP programadas presentan una frecuencia limitada para asegurar el nivel de disponibilidad comprometido para los sistemas críticos.
- PESI 2025-2027, Secciones 11.2
- PETI 2025-2027, Sección 6</t>
  </si>
  <si>
    <t xml:space="preserve">Dominio ME – Monitorear y Evaluar
Procesos: ME1, ME2
COSO – Componente 5: Actividades de Monitoreo | Lineamiento 16
</t>
  </si>
  <si>
    <t>Causa: La implementación del SGSI está planificada pero no completada; las pruebas BCP/DRP fueron definidas en frecuencia mínima sin considerar los requisitos de una entidad financiera regulada.
Efecto: Sin evaluaciones continuas del SCI no es posible detectar fallos en controles; la capacidad de recuperación ante desastres no está validada.</t>
  </si>
  <si>
    <t>La ausencia de evaluaciones continuas del SCI y la insuficiencia de pruebas de continuidad comprometen el criterio de confiabilidad del sistema de control interno.</t>
  </si>
  <si>
    <t>Priorizar la implementación del SGSI ISO 27001 para habilitar las auditorías internas e incrementar las pruebas BCP/DRP a mínimo dos ejercicios anuales con documentación de resultados y reporte al Directorio.</t>
  </si>
  <si>
    <t>Durante la evaluación se observó que la Subgerencia de Ciberseguridad reporta jerárquicamente al Gerente de TI, sin evidenciarse independencia organizacional formal respecto al área operativa de TI, lo que podría afectar la objetividad de la gestión de seguridad.
- Organigrama del Área de TI 
- PESI 2025-2027, Sección 11.1 (Estructura de Gobierno de Seguridad)
- Descripción del Banco</t>
  </si>
  <si>
    <t>RGSI Art. 7° (Responsable de la función de seguridad de la información)</t>
  </si>
  <si>
    <t>Causa: El diseño organizacional del banco ubica a la Subgerencia de Ciberseguridad dentro del área de TI bajo dependencia directa del Gerente de TI, sin contemplar la independencia funcional exigida por el RGSI Art. 7° para el responsable de seguridad de la información.
Efecto: El responsable de seguridad de la información no tiene independencia para evaluar y reportar objetivamente los riesgos de seguridad del área de TI, lo que puede generar conflictos de interés y limitar la efectividad de los controles de seguridad implementados.</t>
  </si>
  <si>
    <t>La ubicación jerárquica del responsable de seguridad dentro del área de TI incumple el RGSI Art. 7° y compromete el criterio de independencia funcional requerido para una gestión objetiva de la seguridad. El catalizador de Estructura Organizativa de COBIT evidencia esta brecha, ya que la función de seguridad debe tener capacidad de reportar hallazgos sin dependencia de la misma área que audita.</t>
  </si>
  <si>
    <t>Redefinir la ubicación jerárquica del responsable de la función de seguridad de la información para garantizar su independencia funcional y operativa respecto al área de TI, conforme al RGSI Art. 7°. Evaluar su reubicación con reporte directo a la Gerencia General o al Directorio.</t>
  </si>
  <si>
    <t>Durante la evaluación no se evidenció una evaluación formal de la infraestructura de TI en relación con la complejidad operativa del banco y los resultados del análisis de riesgos de seguridad. Si bien el inventario de activos documenta los componentes existentes, se identificaron observaciones de insuficiencia sin un plan formal de adecuación aprobado.
- PETI 2025-2027
- Inventario de Activos Tecnológicos</t>
  </si>
  <si>
    <t>RGSI Art. 3° (Infraestructura del área de TI)</t>
  </si>
  <si>
    <t>Causa: El banco documenta su infraestructura en el inventario de activos, sin embargo no se realizó una evaluación formal de adecuación entre la infraestructura existente y la complejidad de sus operaciones bancarias conforme al RGSI Art. 3°.
Efecto: Los componentes de infraestructura con brechas identificadas (SIEM, continuidad, red) operan sin un plan de adecuación aprobado, dejando al banco expuesto a riesgos operacionales no mitigados formalmente.</t>
  </si>
  <si>
    <t>El catalizador de Servicios, Infraestructura y Aplicaciones de COBIT presenta una brecha de cumplimiento regulatorio. La ausencia de una evaluación formal de adecuación de infraestructura incumple el RGSI Art. 3° y compromete el criterio de disponibilidad.</t>
  </si>
  <si>
    <t>Realizar una evaluación formal de adecuación de la infraestructura de TI considerando la complejidad de las operaciones bancarias y los resultados del análisis de riesgos del PESI. Elaborar un plan correctivo aprobado por el Directorio para las brechas identificadas.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</si>
</sst>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font>
    <font>
      <color theme="1"/>
      <name val="Calibri"/>
      <scheme val="minor"/>
    </font>
    <font>
      <b/>
      <color theme="1"/>
      <name val="Calibri"/>
      <scheme val="minor"/>
    </font>
    <font/>
    <font>
      <sz val="11.0"/>
      <color theme="1"/>
      <name val="Calibri"/>
    </font>
    <font>
      <i/>
      <color theme="1"/>
      <name val="Calibri"/>
    </font>
    <font>
      <b/>
      <color theme="1"/>
      <name val="Arial"/>
    </font>
    <font>
      <color theme="1"/>
      <name val="Arial"/>
    </font>
    <font>
      <b/>
      <color rgb="FFFFFFFF"/>
      <name val="Arial"/>
    </font>
  </fonts>
  <fills count="6">
    <fill>
      <patternFill patternType="none"/>
    </fill>
    <fill>
      <patternFill patternType="lightGray"/>
    </fill>
    <fill>
      <patternFill patternType="solid">
        <fgColor rgb="FF00B0F0"/>
        <bgColor rgb="FF00B0F0"/>
      </patternFill>
    </fill>
    <fill>
      <patternFill patternType="solid">
        <fgColor rgb="FFFF0000"/>
        <bgColor rgb="FFFF0000"/>
      </patternFill>
    </fill>
    <fill>
      <patternFill patternType="solid">
        <fgColor rgb="FFC00000"/>
        <bgColor rgb="FFC00000"/>
      </patternFill>
    </fill>
    <fill>
      <patternFill patternType="solid">
        <fgColor rgb="FFFFC000"/>
        <bgColor rgb="FFFFC000"/>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readingOrder="0"/>
    </xf>
    <xf borderId="2" fillId="0" fontId="2" numFmtId="0" xfId="0" applyAlignment="1" applyBorder="1" applyFont="1">
      <alignment readingOrder="0"/>
    </xf>
    <xf borderId="2" fillId="0" fontId="3" numFmtId="0" xfId="0" applyAlignment="1" applyBorder="1" applyFont="1">
      <alignment readingOrder="0"/>
    </xf>
    <xf borderId="3" fillId="0" fontId="2" numFmtId="0" xfId="0" applyAlignment="1" applyBorder="1" applyFont="1">
      <alignment readingOrder="0"/>
    </xf>
    <xf borderId="4" fillId="0" fontId="1" numFmtId="0" xfId="0" applyBorder="1" applyFont="1"/>
    <xf borderId="0" fillId="0" fontId="2" numFmtId="0" xfId="0" applyAlignment="1" applyFont="1">
      <alignment readingOrder="0"/>
    </xf>
    <xf borderId="5" fillId="0" fontId="4" numFmtId="0" xfId="0" applyBorder="1" applyFont="1"/>
    <xf borderId="6" fillId="0" fontId="1" numFmtId="0" xfId="0" applyBorder="1" applyFont="1"/>
    <xf borderId="7" fillId="0" fontId="2" numFmtId="0" xfId="0" applyAlignment="1" applyBorder="1" applyFont="1">
      <alignment readingOrder="0"/>
    </xf>
    <xf borderId="7" fillId="0" fontId="4" numFmtId="0" xfId="0" applyBorder="1" applyFont="1"/>
    <xf borderId="8" fillId="0" fontId="4" numFmtId="0" xfId="0" applyBorder="1" applyFont="1"/>
    <xf borderId="0" fillId="0" fontId="5"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9" fillId="2" fontId="7" numFmtId="0" xfId="0" applyAlignment="1" applyBorder="1" applyFill="1" applyFont="1">
      <alignment horizontal="left" shrinkToFit="0" vertical="top" wrapText="1"/>
    </xf>
    <xf borderId="10" fillId="2" fontId="7" numFmtId="0" xfId="0" applyAlignment="1" applyBorder="1" applyFont="1">
      <alignment horizontal="left" shrinkToFit="0" vertical="top" wrapText="1"/>
    </xf>
    <xf borderId="11" fillId="0" fontId="4" numFmtId="0" xfId="0" applyBorder="1" applyFont="1"/>
    <xf borderId="12" fillId="0" fontId="4" numFmtId="0" xfId="0" applyBorder="1" applyFont="1"/>
    <xf borderId="9" fillId="2" fontId="7" numFmtId="0" xfId="0" applyAlignment="1" applyBorder="1" applyFont="1">
      <alignment horizontal="center" shrinkToFit="0" vertical="top" wrapText="1"/>
    </xf>
    <xf borderId="9" fillId="2" fontId="7" numFmtId="0" xfId="0" applyAlignment="1" applyBorder="1" applyFont="1">
      <alignment horizontal="left" shrinkToFit="0" vertical="top" wrapText="1"/>
    </xf>
    <xf borderId="9" fillId="0" fontId="7" numFmtId="0" xfId="0" applyAlignment="1" applyBorder="1" applyFont="1">
      <alignment horizontal="left"/>
    </xf>
    <xf borderId="9" fillId="2" fontId="7" numFmtId="0" xfId="0" applyAlignment="1" applyBorder="1" applyFont="1">
      <alignment horizontal="left"/>
    </xf>
    <xf borderId="9" fillId="0" fontId="7" numFmtId="0" xfId="0" applyAlignment="1" applyBorder="1" applyFont="1">
      <alignment horizontal="left" shrinkToFit="0" vertical="top" wrapText="1"/>
    </xf>
    <xf borderId="10" fillId="0" fontId="8" numFmtId="0" xfId="0" applyAlignment="1" applyBorder="1" applyFont="1">
      <alignment horizontal="left" readingOrder="0" shrinkToFit="0" vertical="top" wrapText="1"/>
    </xf>
    <xf borderId="9" fillId="0" fontId="8" numFmtId="0" xfId="0" applyAlignment="1" applyBorder="1" applyFont="1">
      <alignment horizontal="left" readingOrder="0" shrinkToFit="0" vertical="top" wrapText="1"/>
    </xf>
    <xf borderId="9" fillId="0" fontId="8" numFmtId="0" xfId="0" applyAlignment="1" applyBorder="1" applyFont="1">
      <alignment horizontal="left" shrinkToFit="0" vertical="top" wrapText="1"/>
    </xf>
    <xf borderId="9" fillId="0" fontId="7" numFmtId="0" xfId="0" applyAlignment="1" applyBorder="1" applyFont="1">
      <alignment horizontal="left" shrinkToFit="0" vertical="top" wrapText="1"/>
    </xf>
    <xf borderId="9" fillId="3" fontId="7" numFmtId="0" xfId="0" applyAlignment="1" applyBorder="1" applyFill="1" applyFont="1">
      <alignment horizontal="left" shrinkToFit="0" vertical="top" wrapText="1"/>
    </xf>
    <xf borderId="9" fillId="0" fontId="5" numFmtId="0" xfId="0" applyAlignment="1" applyBorder="1" applyFont="1">
      <alignment horizontal="left"/>
    </xf>
    <xf borderId="9" fillId="0" fontId="5" numFmtId="0" xfId="0" applyAlignment="1" applyBorder="1" applyFont="1">
      <alignment horizontal="left" vertical="bottom"/>
    </xf>
    <xf borderId="9" fillId="0" fontId="7" numFmtId="0" xfId="0" applyAlignment="1" applyBorder="1" applyFont="1">
      <alignment horizontal="left" shrinkToFit="0" vertical="top" wrapText="1"/>
    </xf>
    <xf borderId="9" fillId="0" fontId="8" numFmtId="0" xfId="0" applyAlignment="1" applyBorder="1" applyFont="1">
      <alignment horizontal="left" shrinkToFit="0" vertical="top" wrapText="1"/>
    </xf>
    <xf borderId="9" fillId="4" fontId="9" numFmtId="0" xfId="0" applyAlignment="1" applyBorder="1" applyFill="1" applyFont="1">
      <alignment horizontal="left" shrinkToFit="0" vertical="top" wrapText="1"/>
    </xf>
    <xf borderId="9" fillId="3" fontId="7" numFmtId="0" xfId="0" applyAlignment="1" applyBorder="1" applyFont="1">
      <alignment horizontal="left" shrinkToFit="0" vertical="top" wrapText="1"/>
    </xf>
    <xf borderId="9" fillId="5" fontId="7" numFmtId="0" xfId="0" applyAlignment="1" applyBorder="1" applyFill="1" applyFont="1">
      <alignment horizontal="left" shrinkToFit="0" vertical="top" wrapText="1"/>
    </xf>
    <xf borderId="9" fillId="3" fontId="9" numFmtId="0" xfId="0" applyAlignment="1" applyBorder="1" applyFont="1">
      <alignment horizontal="left" shrinkToFit="0" vertical="top" wrapText="1"/>
    </xf>
    <xf borderId="9" fillId="0" fontId="7" numFmtId="0" xfId="0" applyAlignment="1" applyBorder="1" applyFont="1">
      <alignment horizontal="left" readingOrder="0" shrinkToFit="0" vertical="top" wrapText="1"/>
    </xf>
  </cellXfs>
  <cellStyles count="1">
    <cellStyle xfId="0" name="Normal" builtinId="0"/>
  </cellStyles>
  <dxfs count="5">
    <dxf>
      <font>
        <color theme="0"/>
      </font>
      <fill>
        <patternFill patternType="solid">
          <fgColor rgb="FFC00000"/>
          <bgColor rgb="FFC00000"/>
        </patternFill>
      </fill>
      <border/>
    </dxf>
    <dxf>
      <font/>
      <fill>
        <patternFill patternType="solid">
          <fgColor rgb="FFFF0000"/>
          <bgColor rgb="FFFF0000"/>
        </patternFill>
      </fill>
      <border/>
    </dxf>
    <dxf>
      <font/>
      <fill>
        <patternFill patternType="solid">
          <fgColor rgb="FFFFC000"/>
          <bgColor rgb="FFFFC000"/>
        </patternFill>
      </fill>
      <border/>
    </dxf>
    <dxf>
      <font/>
      <fill>
        <patternFill patternType="solid">
          <fgColor rgb="FF92D050"/>
          <bgColor rgb="FF92D050"/>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20.0"/>
    <col customWidth="1" min="3" max="3" width="8.71"/>
    <col customWidth="1" min="4" max="4" width="7.14"/>
    <col customWidth="1" min="5" max="5" width="8.29"/>
    <col customWidth="1" min="6" max="6" width="9.14"/>
    <col customWidth="1" min="7" max="7" width="22.86"/>
    <col customWidth="1" min="8" max="8" width="35.86"/>
    <col customWidth="1" min="9" max="9" width="34.86"/>
    <col customWidth="1" min="10" max="10" width="3.71"/>
    <col customWidth="1" min="11" max="11" width="5.0"/>
    <col customWidth="1" min="12" max="12" width="6.43"/>
    <col customWidth="1" min="13" max="13" width="10.29"/>
    <col customWidth="1" min="14" max="14" width="30.71"/>
    <col customWidth="1" hidden="1" min="15" max="15" width="13.86"/>
    <col customWidth="1" hidden="1" min="16" max="16" width="11.43"/>
    <col customWidth="1" min="17" max="17" width="30.0"/>
    <col customWidth="1" min="18" max="26" width="11.43"/>
  </cols>
  <sheetData>
    <row r="1" ht="28.5" customHeight="1">
      <c r="A1" s="1"/>
      <c r="B1" s="2" t="s">
        <v>0</v>
      </c>
      <c r="C1" s="3" t="s">
        <v>1</v>
      </c>
      <c r="D1" s="3"/>
      <c r="E1" s="3"/>
      <c r="F1" s="3"/>
      <c r="G1" s="3"/>
      <c r="H1" s="4" t="s">
        <v>2</v>
      </c>
      <c r="I1" s="3" t="s">
        <v>3</v>
      </c>
      <c r="J1" s="3"/>
      <c r="K1" s="3"/>
      <c r="L1" s="3"/>
      <c r="M1" s="3"/>
      <c r="N1" s="3"/>
      <c r="O1" s="3"/>
      <c r="P1" s="3"/>
      <c r="Q1" s="5"/>
    </row>
    <row r="2" ht="28.5" customHeight="1">
      <c r="A2" s="1"/>
      <c r="B2" s="6" t="s">
        <v>4</v>
      </c>
      <c r="C2" s="7" t="s">
        <v>5</v>
      </c>
      <c r="Q2" s="8"/>
    </row>
    <row r="3" ht="28.5" customHeight="1">
      <c r="B3" s="9" t="s">
        <v>6</v>
      </c>
      <c r="C3" s="10" t="s">
        <v>7</v>
      </c>
      <c r="D3" s="11"/>
      <c r="E3" s="11"/>
      <c r="F3" s="11"/>
      <c r="G3" s="11"/>
      <c r="H3" s="11"/>
      <c r="I3" s="11"/>
      <c r="J3" s="11"/>
      <c r="K3" s="11"/>
      <c r="L3" s="11"/>
      <c r="M3" s="11"/>
      <c r="N3" s="11"/>
      <c r="O3" s="11"/>
      <c r="P3" s="11"/>
      <c r="Q3" s="12"/>
    </row>
    <row r="4">
      <c r="A4" s="13"/>
      <c r="B4" s="14"/>
      <c r="C4" s="14"/>
      <c r="D4" s="14"/>
      <c r="E4" s="14"/>
      <c r="F4" s="14"/>
      <c r="G4" s="15" t="s">
        <v>8</v>
      </c>
      <c r="H4" s="14"/>
      <c r="I4" s="14"/>
      <c r="J4" s="14"/>
      <c r="K4" s="14"/>
      <c r="L4" s="13"/>
      <c r="M4" s="13"/>
      <c r="N4" s="14"/>
      <c r="O4" s="16"/>
      <c r="P4" s="16"/>
      <c r="Q4" s="16"/>
      <c r="R4" s="16"/>
      <c r="S4" s="16"/>
      <c r="T4" s="16"/>
      <c r="U4" s="16"/>
      <c r="V4" s="16"/>
      <c r="W4" s="16"/>
      <c r="X4" s="16"/>
      <c r="Y4" s="16"/>
      <c r="Z4" s="16"/>
    </row>
    <row r="5">
      <c r="A5" s="13"/>
      <c r="B5" s="14"/>
      <c r="C5" s="14"/>
      <c r="D5" s="14"/>
      <c r="E5" s="14"/>
      <c r="F5" s="14"/>
      <c r="G5" s="17" t="s">
        <v>9</v>
      </c>
      <c r="H5" s="14"/>
      <c r="I5" s="14"/>
      <c r="J5" s="14"/>
      <c r="K5" s="14"/>
      <c r="L5" s="13"/>
      <c r="M5" s="13"/>
      <c r="N5" s="14"/>
      <c r="O5" s="16"/>
      <c r="P5" s="16"/>
      <c r="Q5" s="16"/>
      <c r="R5" s="16"/>
      <c r="S5" s="16"/>
      <c r="T5" s="16"/>
      <c r="U5" s="16"/>
      <c r="V5" s="16"/>
      <c r="W5" s="16"/>
      <c r="X5" s="16"/>
      <c r="Y5" s="16"/>
      <c r="Z5" s="16"/>
    </row>
    <row r="6">
      <c r="A6" s="13"/>
      <c r="B6" s="14"/>
      <c r="C6" s="14"/>
      <c r="D6" s="14"/>
      <c r="E6" s="14"/>
      <c r="F6" s="14"/>
      <c r="G6" s="14"/>
      <c r="H6" s="14"/>
      <c r="I6" s="14"/>
      <c r="J6" s="14"/>
      <c r="K6" s="14"/>
      <c r="L6" s="13"/>
      <c r="M6" s="13"/>
      <c r="N6" s="14"/>
      <c r="O6" s="16"/>
      <c r="P6" s="16"/>
      <c r="Q6" s="16"/>
      <c r="R6" s="16"/>
      <c r="S6" s="16"/>
      <c r="T6" s="16"/>
      <c r="U6" s="16"/>
      <c r="V6" s="16"/>
      <c r="W6" s="16"/>
      <c r="X6" s="16"/>
      <c r="Y6" s="16"/>
      <c r="Z6" s="16"/>
    </row>
    <row r="7">
      <c r="A7" s="18" t="s">
        <v>10</v>
      </c>
      <c r="B7" s="19" t="s">
        <v>11</v>
      </c>
      <c r="C7" s="20"/>
      <c r="D7" s="20"/>
      <c r="E7" s="20"/>
      <c r="F7" s="21"/>
      <c r="G7" s="22" t="s">
        <v>12</v>
      </c>
      <c r="H7" s="23" t="s">
        <v>13</v>
      </c>
      <c r="I7" s="23" t="s">
        <v>14</v>
      </c>
      <c r="J7" s="23" t="s">
        <v>15</v>
      </c>
      <c r="K7" s="23" t="s">
        <v>16</v>
      </c>
      <c r="L7" s="18" t="s">
        <v>17</v>
      </c>
      <c r="M7" s="18" t="s">
        <v>18</v>
      </c>
      <c r="N7" s="23" t="s">
        <v>19</v>
      </c>
      <c r="O7" s="24" t="s">
        <v>20</v>
      </c>
      <c r="P7" s="24" t="s">
        <v>21</v>
      </c>
      <c r="Q7" s="25" t="s">
        <v>22</v>
      </c>
      <c r="R7" s="16"/>
      <c r="S7" s="16"/>
      <c r="T7" s="16"/>
      <c r="U7" s="16"/>
      <c r="V7" s="16"/>
      <c r="W7" s="16"/>
      <c r="X7" s="16"/>
      <c r="Y7" s="16"/>
      <c r="Z7" s="16"/>
    </row>
    <row r="8">
      <c r="A8" s="26">
        <v>1.0</v>
      </c>
      <c r="B8" s="27" t="s">
        <v>23</v>
      </c>
      <c r="C8" s="20"/>
      <c r="D8" s="20"/>
      <c r="E8" s="20"/>
      <c r="F8" s="21"/>
      <c r="G8" s="28" t="s">
        <v>24</v>
      </c>
      <c r="H8" s="29" t="s">
        <v>25</v>
      </c>
      <c r="I8" s="29" t="s">
        <v>26</v>
      </c>
      <c r="J8" s="30">
        <v>4.0</v>
      </c>
      <c r="K8" s="30">
        <v>4.0</v>
      </c>
      <c r="L8" s="26">
        <f t="shared" ref="L8:L22" si="1">+J8*K8</f>
        <v>16</v>
      </c>
      <c r="M8" s="31" t="str">
        <f t="shared" ref="M8:M22" si="2">IF(L8&lt;=2,"Muy Bajo",IF(AND(L8&gt;=3,L8&lt;=4),"Bajo",IF(AND(L8&gt;=5,L8&lt;=9),"Medio",IF(AND(L8&gt;9,L8&lt;20),"Alto",IF(L8&gt;=20,"Extremo","Valores errados")))))</f>
        <v>Alto</v>
      </c>
      <c r="N8" s="29" t="s">
        <v>27</v>
      </c>
      <c r="O8" s="32"/>
      <c r="P8" s="32"/>
      <c r="Q8" s="33"/>
      <c r="R8" s="16"/>
      <c r="S8" s="16"/>
      <c r="T8" s="16"/>
      <c r="U8" s="16"/>
      <c r="V8" s="16"/>
      <c r="W8" s="16"/>
      <c r="X8" s="16"/>
      <c r="Y8" s="16"/>
      <c r="Z8" s="16"/>
    </row>
    <row r="9">
      <c r="A9" s="34">
        <v>2.0</v>
      </c>
      <c r="B9" s="27" t="s">
        <v>28</v>
      </c>
      <c r="C9" s="20"/>
      <c r="D9" s="20"/>
      <c r="E9" s="20"/>
      <c r="F9" s="21"/>
      <c r="G9" s="28" t="s">
        <v>29</v>
      </c>
      <c r="H9" s="35" t="s">
        <v>30</v>
      </c>
      <c r="I9" s="35" t="s">
        <v>31</v>
      </c>
      <c r="J9" s="34">
        <v>5.0</v>
      </c>
      <c r="K9" s="34">
        <v>4.0</v>
      </c>
      <c r="L9" s="34">
        <f t="shared" si="1"/>
        <v>20</v>
      </c>
      <c r="M9" s="36" t="str">
        <f t="shared" si="2"/>
        <v>Extremo</v>
      </c>
      <c r="N9" s="35" t="s">
        <v>32</v>
      </c>
      <c r="O9" s="32"/>
      <c r="P9" s="32"/>
      <c r="Q9" s="33"/>
      <c r="R9" s="16"/>
      <c r="S9" s="16"/>
      <c r="T9" s="16"/>
      <c r="U9" s="16"/>
      <c r="V9" s="16"/>
      <c r="W9" s="16"/>
      <c r="X9" s="16"/>
      <c r="Y9" s="16"/>
      <c r="Z9" s="16"/>
    </row>
    <row r="10">
      <c r="A10" s="34">
        <v>3.0</v>
      </c>
      <c r="B10" s="27" t="s">
        <v>33</v>
      </c>
      <c r="C10" s="20"/>
      <c r="D10" s="20"/>
      <c r="E10" s="20"/>
      <c r="F10" s="21"/>
      <c r="G10" s="28" t="s">
        <v>34</v>
      </c>
      <c r="H10" s="35" t="s">
        <v>35</v>
      </c>
      <c r="I10" s="35" t="s">
        <v>36</v>
      </c>
      <c r="J10" s="34">
        <v>4.0</v>
      </c>
      <c r="K10" s="34">
        <v>3.0</v>
      </c>
      <c r="L10" s="34">
        <f t="shared" si="1"/>
        <v>12</v>
      </c>
      <c r="M10" s="37" t="str">
        <f t="shared" si="2"/>
        <v>Alto</v>
      </c>
      <c r="N10" s="35" t="s">
        <v>37</v>
      </c>
      <c r="O10" s="33"/>
      <c r="P10" s="33"/>
      <c r="Q10" s="33"/>
      <c r="R10" s="16"/>
      <c r="S10" s="16"/>
      <c r="T10" s="16"/>
      <c r="U10" s="16"/>
      <c r="V10" s="16"/>
      <c r="W10" s="16"/>
      <c r="X10" s="16"/>
      <c r="Y10" s="16"/>
      <c r="Z10" s="16"/>
    </row>
    <row r="11">
      <c r="A11" s="34">
        <v>4.0</v>
      </c>
      <c r="B11" s="27" t="s">
        <v>38</v>
      </c>
      <c r="C11" s="20"/>
      <c r="D11" s="20"/>
      <c r="E11" s="20"/>
      <c r="F11" s="21"/>
      <c r="G11" s="28" t="s">
        <v>39</v>
      </c>
      <c r="H11" s="28" t="s">
        <v>40</v>
      </c>
      <c r="I11" s="35" t="s">
        <v>41</v>
      </c>
      <c r="J11" s="34">
        <v>4.0</v>
      </c>
      <c r="K11" s="34">
        <v>4.0</v>
      </c>
      <c r="L11" s="34">
        <f t="shared" si="1"/>
        <v>16</v>
      </c>
      <c r="M11" s="37" t="str">
        <f t="shared" si="2"/>
        <v>Alto</v>
      </c>
      <c r="N11" s="35" t="s">
        <v>42</v>
      </c>
      <c r="O11" s="33"/>
      <c r="P11" s="33"/>
      <c r="Q11" s="33"/>
      <c r="R11" s="16"/>
      <c r="S11" s="16"/>
      <c r="T11" s="16"/>
      <c r="U11" s="16"/>
      <c r="V11" s="16"/>
      <c r="W11" s="16"/>
      <c r="X11" s="16"/>
      <c r="Y11" s="16"/>
      <c r="Z11" s="16"/>
    </row>
    <row r="12">
      <c r="A12" s="34">
        <v>5.0</v>
      </c>
      <c r="B12" s="27" t="s">
        <v>43</v>
      </c>
      <c r="C12" s="20"/>
      <c r="D12" s="20"/>
      <c r="E12" s="20"/>
      <c r="F12" s="21"/>
      <c r="G12" s="28" t="s">
        <v>44</v>
      </c>
      <c r="H12" s="28" t="s">
        <v>45</v>
      </c>
      <c r="I12" s="35" t="s">
        <v>46</v>
      </c>
      <c r="J12" s="34">
        <v>4.0</v>
      </c>
      <c r="K12" s="34">
        <v>5.0</v>
      </c>
      <c r="L12" s="34">
        <f t="shared" si="1"/>
        <v>20</v>
      </c>
      <c r="M12" s="36" t="str">
        <f t="shared" si="2"/>
        <v>Extremo</v>
      </c>
      <c r="N12" s="35" t="s">
        <v>47</v>
      </c>
      <c r="O12" s="33"/>
      <c r="P12" s="33"/>
      <c r="Q12" s="33"/>
      <c r="R12" s="16"/>
      <c r="S12" s="16"/>
      <c r="T12" s="16"/>
      <c r="U12" s="16"/>
      <c r="V12" s="16"/>
      <c r="W12" s="16"/>
      <c r="X12" s="16"/>
      <c r="Y12" s="16"/>
      <c r="Z12" s="16"/>
    </row>
    <row r="13">
      <c r="A13" s="34">
        <v>6.0</v>
      </c>
      <c r="B13" s="27" t="s">
        <v>48</v>
      </c>
      <c r="C13" s="20"/>
      <c r="D13" s="20"/>
      <c r="E13" s="20"/>
      <c r="F13" s="21"/>
      <c r="G13" s="28" t="s">
        <v>49</v>
      </c>
      <c r="H13" s="35" t="s">
        <v>50</v>
      </c>
      <c r="I13" s="35" t="s">
        <v>51</v>
      </c>
      <c r="J13" s="34">
        <v>3.0</v>
      </c>
      <c r="K13" s="34">
        <v>3.0</v>
      </c>
      <c r="L13" s="34">
        <f t="shared" si="1"/>
        <v>9</v>
      </c>
      <c r="M13" s="38" t="str">
        <f t="shared" si="2"/>
        <v>Medio</v>
      </c>
      <c r="N13" s="35" t="s">
        <v>52</v>
      </c>
      <c r="O13" s="33"/>
      <c r="P13" s="33"/>
      <c r="Q13" s="33"/>
      <c r="R13" s="16"/>
      <c r="S13" s="16"/>
      <c r="T13" s="16"/>
      <c r="U13" s="16"/>
      <c r="V13" s="16"/>
      <c r="W13" s="16"/>
      <c r="X13" s="16"/>
      <c r="Y13" s="16"/>
      <c r="Z13" s="16"/>
    </row>
    <row r="14">
      <c r="A14" s="34">
        <v>7.0</v>
      </c>
      <c r="B14" s="27" t="s">
        <v>53</v>
      </c>
      <c r="C14" s="20"/>
      <c r="D14" s="20"/>
      <c r="E14" s="20"/>
      <c r="F14" s="21"/>
      <c r="G14" s="28" t="s">
        <v>54</v>
      </c>
      <c r="H14" s="35" t="s">
        <v>55</v>
      </c>
      <c r="I14" s="35" t="s">
        <v>56</v>
      </c>
      <c r="J14" s="34">
        <v>5.0</v>
      </c>
      <c r="K14" s="34">
        <v>3.0</v>
      </c>
      <c r="L14" s="34">
        <f t="shared" si="1"/>
        <v>15</v>
      </c>
      <c r="M14" s="37" t="str">
        <f t="shared" si="2"/>
        <v>Alto</v>
      </c>
      <c r="N14" s="35" t="s">
        <v>57</v>
      </c>
      <c r="O14" s="33"/>
      <c r="P14" s="33"/>
      <c r="Q14" s="33"/>
      <c r="R14" s="16"/>
      <c r="S14" s="16"/>
      <c r="T14" s="16"/>
      <c r="U14" s="16"/>
      <c r="V14" s="16"/>
      <c r="W14" s="16"/>
      <c r="X14" s="16"/>
      <c r="Y14" s="16"/>
      <c r="Z14" s="16"/>
    </row>
    <row r="15" ht="15.75" customHeight="1">
      <c r="A15" s="34">
        <v>8.0</v>
      </c>
      <c r="B15" s="27" t="s">
        <v>58</v>
      </c>
      <c r="C15" s="20"/>
      <c r="D15" s="20"/>
      <c r="E15" s="20"/>
      <c r="F15" s="21"/>
      <c r="G15" s="28" t="s">
        <v>59</v>
      </c>
      <c r="H15" s="35" t="s">
        <v>60</v>
      </c>
      <c r="I15" s="35" t="s">
        <v>61</v>
      </c>
      <c r="J15" s="34">
        <v>4.0</v>
      </c>
      <c r="K15" s="34">
        <v>5.0</v>
      </c>
      <c r="L15" s="34">
        <f t="shared" si="1"/>
        <v>20</v>
      </c>
      <c r="M15" s="39" t="str">
        <f t="shared" si="2"/>
        <v>Extremo</v>
      </c>
      <c r="N15" s="35" t="s">
        <v>62</v>
      </c>
      <c r="O15" s="33"/>
      <c r="P15" s="33"/>
      <c r="Q15" s="33"/>
      <c r="R15" s="16"/>
      <c r="S15" s="16"/>
      <c r="T15" s="16"/>
      <c r="U15" s="16"/>
      <c r="V15" s="16"/>
      <c r="W15" s="16"/>
      <c r="X15" s="16"/>
      <c r="Y15" s="16"/>
      <c r="Z15" s="16"/>
    </row>
    <row r="16" ht="164.25" customHeight="1">
      <c r="A16" s="34">
        <v>9.0</v>
      </c>
      <c r="B16" s="27" t="s">
        <v>63</v>
      </c>
      <c r="C16" s="20"/>
      <c r="D16" s="20"/>
      <c r="E16" s="20"/>
      <c r="F16" s="21"/>
      <c r="G16" s="28" t="s">
        <v>64</v>
      </c>
      <c r="H16" s="35" t="s">
        <v>65</v>
      </c>
      <c r="I16" s="35" t="s">
        <v>66</v>
      </c>
      <c r="J16" s="34">
        <v>4.0</v>
      </c>
      <c r="K16" s="34">
        <v>4.0</v>
      </c>
      <c r="L16" s="34">
        <f t="shared" si="1"/>
        <v>16</v>
      </c>
      <c r="M16" s="37" t="str">
        <f t="shared" si="2"/>
        <v>Alto</v>
      </c>
      <c r="N16" s="35" t="s">
        <v>67</v>
      </c>
      <c r="O16" s="33"/>
      <c r="P16" s="33"/>
      <c r="Q16" s="33"/>
      <c r="R16" s="16"/>
      <c r="S16" s="16"/>
      <c r="T16" s="16"/>
      <c r="U16" s="16"/>
      <c r="V16" s="16"/>
      <c r="W16" s="16"/>
      <c r="X16" s="16"/>
      <c r="Y16" s="16"/>
      <c r="Z16" s="16"/>
    </row>
    <row r="17" ht="15.75" customHeight="1">
      <c r="A17" s="34">
        <v>10.0</v>
      </c>
      <c r="B17" s="27" t="s">
        <v>68</v>
      </c>
      <c r="C17" s="20"/>
      <c r="D17" s="20"/>
      <c r="E17" s="20"/>
      <c r="F17" s="21"/>
      <c r="G17" s="28" t="s">
        <v>69</v>
      </c>
      <c r="H17" s="35" t="s">
        <v>70</v>
      </c>
      <c r="I17" s="35" t="s">
        <v>71</v>
      </c>
      <c r="J17" s="34">
        <v>4.0</v>
      </c>
      <c r="K17" s="34">
        <v>4.0</v>
      </c>
      <c r="L17" s="34">
        <f t="shared" si="1"/>
        <v>16</v>
      </c>
      <c r="M17" s="37" t="str">
        <f t="shared" si="2"/>
        <v>Alto</v>
      </c>
      <c r="N17" s="35" t="s">
        <v>72</v>
      </c>
      <c r="O17" s="33"/>
      <c r="P17" s="33"/>
      <c r="Q17" s="33"/>
      <c r="R17" s="16"/>
      <c r="S17" s="16"/>
      <c r="T17" s="16"/>
      <c r="U17" s="16"/>
      <c r="V17" s="16"/>
      <c r="W17" s="16"/>
      <c r="X17" s="16"/>
      <c r="Y17" s="16"/>
      <c r="Z17" s="16"/>
    </row>
    <row r="18" ht="15.75" customHeight="1">
      <c r="A18" s="34">
        <v>11.0</v>
      </c>
      <c r="B18" s="27" t="s">
        <v>73</v>
      </c>
      <c r="C18" s="20"/>
      <c r="D18" s="20"/>
      <c r="E18" s="20"/>
      <c r="F18" s="21"/>
      <c r="G18" s="28" t="s">
        <v>74</v>
      </c>
      <c r="H18" s="35" t="s">
        <v>75</v>
      </c>
      <c r="I18" s="35" t="s">
        <v>76</v>
      </c>
      <c r="J18" s="34">
        <v>4.0</v>
      </c>
      <c r="K18" s="34">
        <v>4.0</v>
      </c>
      <c r="L18" s="34">
        <f t="shared" si="1"/>
        <v>16</v>
      </c>
      <c r="M18" s="37" t="str">
        <f t="shared" si="2"/>
        <v>Alto</v>
      </c>
      <c r="N18" s="35" t="s">
        <v>77</v>
      </c>
      <c r="O18" s="33"/>
      <c r="P18" s="33"/>
      <c r="Q18" s="33"/>
      <c r="R18" s="16"/>
      <c r="S18" s="16"/>
      <c r="T18" s="16"/>
      <c r="U18" s="16"/>
      <c r="V18" s="16"/>
      <c r="W18" s="16"/>
      <c r="X18" s="16"/>
      <c r="Y18" s="16"/>
      <c r="Z18" s="16"/>
    </row>
    <row r="19" ht="15.75" customHeight="1">
      <c r="A19" s="34">
        <v>12.0</v>
      </c>
      <c r="B19" s="27" t="s">
        <v>78</v>
      </c>
      <c r="C19" s="20"/>
      <c r="D19" s="20"/>
      <c r="E19" s="20"/>
      <c r="F19" s="21"/>
      <c r="G19" s="28" t="s">
        <v>79</v>
      </c>
      <c r="H19" s="35" t="s">
        <v>80</v>
      </c>
      <c r="I19" s="35" t="s">
        <v>81</v>
      </c>
      <c r="J19" s="34">
        <v>4.0</v>
      </c>
      <c r="K19" s="34">
        <v>4.0</v>
      </c>
      <c r="L19" s="34">
        <f t="shared" si="1"/>
        <v>16</v>
      </c>
      <c r="M19" s="37" t="str">
        <f t="shared" si="2"/>
        <v>Alto</v>
      </c>
      <c r="N19" s="35" t="s">
        <v>82</v>
      </c>
      <c r="O19" s="33"/>
      <c r="P19" s="33"/>
      <c r="Q19" s="33"/>
      <c r="R19" s="16"/>
      <c r="S19" s="16"/>
      <c r="T19" s="16"/>
      <c r="U19" s="16"/>
      <c r="V19" s="16"/>
      <c r="W19" s="16"/>
      <c r="X19" s="16"/>
      <c r="Y19" s="16"/>
      <c r="Z19" s="16"/>
    </row>
    <row r="20" ht="15.75" customHeight="1">
      <c r="A20" s="34">
        <v>13.0</v>
      </c>
      <c r="B20" s="27" t="s">
        <v>83</v>
      </c>
      <c r="C20" s="20"/>
      <c r="D20" s="20"/>
      <c r="E20" s="20"/>
      <c r="F20" s="21"/>
      <c r="G20" s="28" t="s">
        <v>84</v>
      </c>
      <c r="H20" s="35" t="s">
        <v>85</v>
      </c>
      <c r="I20" s="35" t="s">
        <v>86</v>
      </c>
      <c r="J20" s="34">
        <v>4.0</v>
      </c>
      <c r="K20" s="34">
        <v>4.0</v>
      </c>
      <c r="L20" s="34">
        <f t="shared" si="1"/>
        <v>16</v>
      </c>
      <c r="M20" s="37" t="str">
        <f t="shared" si="2"/>
        <v>Alto</v>
      </c>
      <c r="N20" s="35" t="s">
        <v>87</v>
      </c>
      <c r="O20" s="33"/>
      <c r="P20" s="33"/>
      <c r="Q20" s="33"/>
      <c r="R20" s="16"/>
      <c r="S20" s="16"/>
      <c r="T20" s="16"/>
      <c r="U20" s="16"/>
      <c r="V20" s="16"/>
      <c r="W20" s="16"/>
      <c r="X20" s="16"/>
      <c r="Y20" s="16"/>
      <c r="Z20" s="16"/>
    </row>
    <row r="21" ht="15.75" customHeight="1">
      <c r="A21" s="40">
        <v>14.0</v>
      </c>
      <c r="B21" s="27" t="s">
        <v>88</v>
      </c>
      <c r="C21" s="20"/>
      <c r="D21" s="20"/>
      <c r="E21" s="20"/>
      <c r="F21" s="21"/>
      <c r="G21" s="28" t="s">
        <v>89</v>
      </c>
      <c r="H21" s="28" t="s">
        <v>90</v>
      </c>
      <c r="I21" s="28" t="s">
        <v>91</v>
      </c>
      <c r="J21" s="34">
        <v>4.0</v>
      </c>
      <c r="K21" s="34">
        <v>4.0</v>
      </c>
      <c r="L21" s="34">
        <f t="shared" si="1"/>
        <v>16</v>
      </c>
      <c r="M21" s="37" t="str">
        <f t="shared" si="2"/>
        <v>Alto</v>
      </c>
      <c r="N21" s="28" t="s">
        <v>92</v>
      </c>
      <c r="O21" s="33"/>
      <c r="P21" s="33"/>
      <c r="Q21" s="33"/>
      <c r="R21" s="16"/>
      <c r="S21" s="16"/>
      <c r="T21" s="16"/>
      <c r="U21" s="16"/>
      <c r="V21" s="16"/>
      <c r="W21" s="16"/>
      <c r="X21" s="16"/>
      <c r="Y21" s="16"/>
      <c r="Z21" s="16"/>
    </row>
    <row r="22" ht="15.75" customHeight="1">
      <c r="A22" s="40">
        <v>15.0</v>
      </c>
      <c r="B22" s="27" t="s">
        <v>93</v>
      </c>
      <c r="C22" s="20"/>
      <c r="D22" s="20"/>
      <c r="E22" s="20"/>
      <c r="F22" s="21"/>
      <c r="G22" s="28" t="s">
        <v>94</v>
      </c>
      <c r="H22" s="28" t="s">
        <v>95</v>
      </c>
      <c r="I22" s="28" t="s">
        <v>96</v>
      </c>
      <c r="J22" s="40">
        <v>3.0</v>
      </c>
      <c r="K22" s="34">
        <v>4.0</v>
      </c>
      <c r="L22" s="34">
        <f t="shared" si="1"/>
        <v>12</v>
      </c>
      <c r="M22" s="37" t="str">
        <f t="shared" si="2"/>
        <v>Alto</v>
      </c>
      <c r="N22" s="28" t="s">
        <v>97</v>
      </c>
      <c r="O22" s="33"/>
      <c r="P22" s="33"/>
      <c r="Q22" s="33"/>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8">
    <mergeCell ref="C2:Q2"/>
    <mergeCell ref="C3:Q3"/>
    <mergeCell ref="B7:F7"/>
    <mergeCell ref="B8:F8"/>
    <mergeCell ref="B9:F9"/>
    <mergeCell ref="B10:F10"/>
    <mergeCell ref="B11:F11"/>
    <mergeCell ref="B19:F19"/>
    <mergeCell ref="B20:F20"/>
    <mergeCell ref="B21:F21"/>
    <mergeCell ref="B22:F22"/>
    <mergeCell ref="B12:F12"/>
    <mergeCell ref="B13:F13"/>
    <mergeCell ref="B14:F14"/>
    <mergeCell ref="B15:F15"/>
    <mergeCell ref="B16:F16"/>
    <mergeCell ref="B17:F17"/>
    <mergeCell ref="B18:F18"/>
  </mergeCells>
  <conditionalFormatting sqref="M4:M8">
    <cfRule type="cellIs" dxfId="0" priority="1" operator="equal">
      <formula>"Extremo"</formula>
    </cfRule>
  </conditionalFormatting>
  <conditionalFormatting sqref="M4:M8">
    <cfRule type="cellIs" dxfId="1" priority="2" operator="equal">
      <formula>"Alto"</formula>
    </cfRule>
  </conditionalFormatting>
  <conditionalFormatting sqref="M4:M8">
    <cfRule type="cellIs" dxfId="2" priority="3" operator="equal">
      <formula>"Medio"</formula>
    </cfRule>
  </conditionalFormatting>
  <conditionalFormatting sqref="M4:M8">
    <cfRule type="cellIs" dxfId="3" priority="4" operator="equal">
      <formula>"Bajo"</formula>
    </cfRule>
  </conditionalFormatting>
  <conditionalFormatting sqref="M4:M8">
    <cfRule type="cellIs" dxfId="4" priority="5" operator="equal">
      <formula>"Muy bajo"</formula>
    </cfRule>
  </conditionalFormatting>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2021-07-31T22:56:13Z</dcterms:created>
  <dc:creator>Lourdes Peredo</dc:creator>
</cp:coreProperties>
</file>